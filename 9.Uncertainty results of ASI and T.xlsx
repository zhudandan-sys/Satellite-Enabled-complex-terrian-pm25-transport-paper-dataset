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d\Desktop\论文数据\"/>
    </mc:Choice>
  </mc:AlternateContent>
  <xr:revisionPtr revIDLastSave="0" documentId="13_ncr:1_{7B1467E9-A5A8-47A9-BE14-81A8B95B83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2" i="1"/>
  <c r="L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2" i="1"/>
  <c r="J2" i="1" s="1"/>
</calcChain>
</file>

<file path=xl/sharedStrings.xml><?xml version="1.0" encoding="utf-8"?>
<sst xmlns="http://schemas.openxmlformats.org/spreadsheetml/2006/main" count="23" uniqueCount="22">
  <si>
    <t>baoji</t>
  </si>
  <si>
    <t>lingfen</t>
  </si>
  <si>
    <t>lvliang</t>
  </si>
  <si>
    <t>luoyang</t>
  </si>
  <si>
    <t>sanmenxia</t>
  </si>
  <si>
    <t>tongchuan</t>
  </si>
  <si>
    <t>weinan</t>
  </si>
  <si>
    <t>xian</t>
  </si>
  <si>
    <t>xianyang</t>
  </si>
  <si>
    <t>jinzhong</t>
  </si>
  <si>
    <t>yuncheng</t>
  </si>
  <si>
    <t>city</t>
    <phoneticPr fontId="1" type="noConversion"/>
  </si>
  <si>
    <t>city square(km²)</t>
    <phoneticPr fontId="1" type="noConversion"/>
  </si>
  <si>
    <t>average pbl(m)</t>
    <phoneticPr fontId="1" type="noConversion"/>
  </si>
  <si>
    <t>wind uncertainty(m/s)</t>
    <phoneticPr fontId="1" type="noConversion"/>
  </si>
  <si>
    <t>uncertainty ratio</t>
    <phoneticPr fontId="1" type="noConversion"/>
  </si>
  <si>
    <t>T uncertainty(mg·m⁻²·h⁻¹)</t>
    <phoneticPr fontId="1" type="noConversion"/>
  </si>
  <si>
    <t>ASI uncertainty(mg·m⁻²·h⁻¹)</t>
    <phoneticPr fontId="1" type="noConversion"/>
  </si>
  <si>
    <r>
      <t>average net flux</t>
    </r>
    <r>
      <rPr>
        <b/>
        <sz val="11"/>
        <rFont val="宋体"/>
        <family val="3"/>
        <charset val="134"/>
      </rPr>
      <t>（</t>
    </r>
    <r>
      <rPr>
        <b/>
        <sz val="11"/>
        <rFont val="Times New Roman"/>
        <family val="1"/>
      </rPr>
      <t>mg m-2 h-1</t>
    </r>
    <r>
      <rPr>
        <b/>
        <sz val="11"/>
        <rFont val="宋体"/>
        <family val="3"/>
        <charset val="134"/>
      </rPr>
      <t>）</t>
    </r>
    <phoneticPr fontId="1" type="noConversion"/>
  </si>
  <si>
    <r>
      <t>average net_flux</t>
    </r>
    <r>
      <rPr>
        <b/>
        <sz val="11"/>
        <color theme="1"/>
        <rFont val="宋体"/>
        <family val="2"/>
      </rPr>
      <t>（</t>
    </r>
    <r>
      <rPr>
        <b/>
        <sz val="11"/>
        <color theme="1"/>
        <rFont val="Times New Roman"/>
        <family val="1"/>
      </rPr>
      <t>t/d</t>
    </r>
    <r>
      <rPr>
        <b/>
        <sz val="11"/>
        <color theme="1"/>
        <rFont val="宋体"/>
        <family val="2"/>
      </rPr>
      <t>）</t>
    </r>
    <phoneticPr fontId="1" type="noConversion"/>
  </si>
  <si>
    <r>
      <t>averageASI(t/d/k</t>
    </r>
    <r>
      <rPr>
        <b/>
        <sz val="11"/>
        <color theme="1"/>
        <rFont val="宋体"/>
        <family val="2"/>
      </rPr>
      <t>㎡</t>
    </r>
    <r>
      <rPr>
        <b/>
        <sz val="11"/>
        <color theme="1"/>
        <rFont val="Times New Roman"/>
        <family val="1"/>
      </rPr>
      <t>)</t>
    </r>
    <phoneticPr fontId="1" type="noConversion"/>
  </si>
  <si>
    <r>
      <t>average ASI</t>
    </r>
    <r>
      <rPr>
        <b/>
        <sz val="11"/>
        <color theme="1"/>
        <rFont val="宋体"/>
        <family val="2"/>
      </rPr>
      <t>（</t>
    </r>
    <r>
      <rPr>
        <b/>
        <sz val="11"/>
        <color theme="1"/>
        <rFont val="Times New Roman"/>
        <family val="1"/>
      </rPr>
      <t>mg m-2 h-1</t>
    </r>
    <r>
      <rPr>
        <b/>
        <sz val="11"/>
        <color theme="1"/>
        <rFont val="宋体"/>
        <family val="2"/>
      </rPr>
      <t>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</si>
</sst>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L4" sqref="L4"/>
    </sheetView>
  </sheetViews>
  <sheetFormatPr defaultRowHeight="14" x14ac:dyDescent="0.25"/>
  <cols>
    <col min="1" max="12" width="15.6328125" customWidth="1"/>
  </cols>
  <sheetData>
    <row r="1" spans="1:12" ht="47.5" customHeigh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16</v>
      </c>
      <c r="F1" s="2" t="s">
        <v>17</v>
      </c>
      <c r="G1" s="3" t="s">
        <v>19</v>
      </c>
      <c r="H1" s="3" t="s">
        <v>20</v>
      </c>
      <c r="I1" s="2" t="s">
        <v>18</v>
      </c>
      <c r="J1" s="2" t="s">
        <v>15</v>
      </c>
      <c r="K1" s="3" t="s">
        <v>21</v>
      </c>
      <c r="L1" s="2" t="s">
        <v>15</v>
      </c>
    </row>
    <row r="2" spans="1:12" x14ac:dyDescent="0.25">
      <c r="A2" s="3" t="s">
        <v>0</v>
      </c>
      <c r="B2" s="3">
        <v>17697.490000000002</v>
      </c>
      <c r="C2" s="3">
        <v>841.22007808942976</v>
      </c>
      <c r="D2" s="3">
        <v>0.12</v>
      </c>
      <c r="E2" s="3">
        <v>20.82637335222665</v>
      </c>
      <c r="F2" s="3">
        <v>8.9535524467767846</v>
      </c>
      <c r="G2" s="3">
        <v>17427.947897195412</v>
      </c>
      <c r="H2" s="3">
        <v>1.5920451142857139</v>
      </c>
      <c r="I2" s="3">
        <f>G2/B2*1000/24</f>
        <v>41.032061366695245</v>
      </c>
      <c r="J2" s="3">
        <f>E2/I2</f>
        <v>0.50756341891053336</v>
      </c>
      <c r="K2" s="3">
        <f>H2*1000/24</f>
        <v>66.335213095238075</v>
      </c>
      <c r="L2" s="3">
        <f t="shared" ref="L2:L12" si="0">F2/K2</f>
        <v>0.13497435267030933</v>
      </c>
    </row>
    <row r="3" spans="1:12" x14ac:dyDescent="0.25">
      <c r="A3" s="3" t="s">
        <v>9</v>
      </c>
      <c r="B3" s="3">
        <v>15500</v>
      </c>
      <c r="C3" s="3">
        <v>1029.661710222779</v>
      </c>
      <c r="D3" s="3">
        <v>0.16</v>
      </c>
      <c r="E3" s="3">
        <v>29.124504773300821</v>
      </c>
      <c r="F3" s="3">
        <v>9.4705042908392443</v>
      </c>
      <c r="G3" s="3">
        <v>36752.937032236936</v>
      </c>
      <c r="H3" s="3">
        <v>4.0376298857142832</v>
      </c>
      <c r="I3" s="3">
        <f>G3/B3*1000/24</f>
        <v>98.79821782859392</v>
      </c>
      <c r="J3" s="3">
        <f t="shared" ref="J3:J12" si="1">E3/I3</f>
        <v>0.29478775440898369</v>
      </c>
      <c r="K3" s="3">
        <f t="shared" ref="K3:K12" si="2">H3*1000/24</f>
        <v>168.23457857142847</v>
      </c>
      <c r="L3" s="3">
        <f t="shared" si="0"/>
        <v>5.6293446753089997E-2</v>
      </c>
    </row>
    <row r="4" spans="1:12" x14ac:dyDescent="0.25">
      <c r="A4" s="3" t="s">
        <v>1</v>
      </c>
      <c r="B4" s="3">
        <v>19395.2</v>
      </c>
      <c r="C4" s="3">
        <v>838.4045893886705</v>
      </c>
      <c r="D4" s="3">
        <v>0.55000000000000004</v>
      </c>
      <c r="E4" s="3">
        <v>19.25151593854336</v>
      </c>
      <c r="F4" s="3">
        <v>9.5753567520132865</v>
      </c>
      <c r="G4" s="3">
        <v>33910.451935939105</v>
      </c>
      <c r="H4" s="3">
        <v>2.2994299928571427</v>
      </c>
      <c r="I4" s="3">
        <f>G4/B4*1000/24</f>
        <v>72.849751347281597</v>
      </c>
      <c r="J4" s="3">
        <f t="shared" si="1"/>
        <v>0.26426330334017994</v>
      </c>
      <c r="K4" s="3">
        <f t="shared" si="2"/>
        <v>95.809583035714283</v>
      </c>
      <c r="L4" s="3">
        <f t="shared" si="0"/>
        <v>9.994153453777109E-2</v>
      </c>
    </row>
    <row r="5" spans="1:12" x14ac:dyDescent="0.25">
      <c r="A5" s="3" t="s">
        <v>3</v>
      </c>
      <c r="B5" s="3">
        <v>14440.44</v>
      </c>
      <c r="C5" s="3">
        <v>759.30846775064731</v>
      </c>
      <c r="D5" s="3">
        <v>0.56999999999999995</v>
      </c>
      <c r="E5" s="3">
        <v>23.44687828289744</v>
      </c>
      <c r="F5" s="3">
        <v>10.7045597342363</v>
      </c>
      <c r="G5" s="3">
        <v>18211.448188604416</v>
      </c>
      <c r="H5" s="3">
        <v>1.7943388642857134</v>
      </c>
      <c r="I5" s="3">
        <f>G5/B5*1000/24</f>
        <v>52.547591430167678</v>
      </c>
      <c r="J5" s="3">
        <f t="shared" si="1"/>
        <v>0.44620272109059106</v>
      </c>
      <c r="K5" s="3">
        <f t="shared" si="2"/>
        <v>74.764119345238058</v>
      </c>
      <c r="L5" s="3">
        <f t="shared" si="0"/>
        <v>0.1431777679986557</v>
      </c>
    </row>
    <row r="6" spans="1:12" x14ac:dyDescent="0.25">
      <c r="A6" s="3" t="s">
        <v>2</v>
      </c>
      <c r="B6" s="3">
        <v>19999.439999999999</v>
      </c>
      <c r="C6" s="3">
        <v>985.96182692739126</v>
      </c>
      <c r="D6" s="3">
        <v>0.12</v>
      </c>
      <c r="E6" s="3">
        <v>21.600209386288039</v>
      </c>
      <c r="F6" s="3">
        <v>8.5871077591875604</v>
      </c>
      <c r="G6" s="3">
        <v>40345.059648162322</v>
      </c>
      <c r="H6" s="3">
        <v>5.1893359214285733</v>
      </c>
      <c r="I6" s="3">
        <f>G6/B6*1000/24</f>
        <v>84.05456112804977</v>
      </c>
      <c r="J6" s="3">
        <f t="shared" si="1"/>
        <v>0.25697843277513532</v>
      </c>
      <c r="K6" s="3">
        <f t="shared" si="2"/>
        <v>216.22233005952387</v>
      </c>
      <c r="L6" s="3">
        <f t="shared" si="0"/>
        <v>3.9714250405236198E-2</v>
      </c>
    </row>
    <row r="7" spans="1:12" x14ac:dyDescent="0.25">
      <c r="A7" s="3" t="s">
        <v>4</v>
      </c>
      <c r="B7" s="3">
        <v>9454.23</v>
      </c>
      <c r="C7" s="3">
        <v>715.2581794182538</v>
      </c>
      <c r="D7" s="3">
        <v>1.07</v>
      </c>
      <c r="E7" s="3">
        <v>35.240029260435442</v>
      </c>
      <c r="F7" s="3">
        <v>14.07127010559919</v>
      </c>
      <c r="G7" s="3">
        <v>14210.993067509935</v>
      </c>
      <c r="H7" s="3">
        <v>1.6324000999999995</v>
      </c>
      <c r="I7" s="3">
        <f>G7/B7*1000/24</f>
        <v>62.630664913615107</v>
      </c>
      <c r="J7" s="3">
        <f t="shared" si="1"/>
        <v>0.56266414078536642</v>
      </c>
      <c r="K7" s="3">
        <f t="shared" si="2"/>
        <v>68.016670833333308</v>
      </c>
      <c r="L7" s="3">
        <f t="shared" si="0"/>
        <v>0.20687972423818199</v>
      </c>
    </row>
    <row r="8" spans="1:12" x14ac:dyDescent="0.25">
      <c r="A8" s="3" t="s">
        <v>5</v>
      </c>
      <c r="B8" s="3">
        <v>3710.02</v>
      </c>
      <c r="C8" s="3">
        <v>321.19732467525222</v>
      </c>
      <c r="D8" s="3">
        <v>0.35</v>
      </c>
      <c r="E8" s="3">
        <v>38.16794721046297</v>
      </c>
      <c r="F8" s="3">
        <v>17.368159449032021</v>
      </c>
      <c r="G8" s="3">
        <v>6052.972496404348</v>
      </c>
      <c r="H8" s="3">
        <v>1.5765480714285711</v>
      </c>
      <c r="I8" s="3">
        <f>G8/B8*1000/24</f>
        <v>67.980007479792889</v>
      </c>
      <c r="J8" s="3">
        <f t="shared" si="1"/>
        <v>0.56145841439938682</v>
      </c>
      <c r="K8" s="3">
        <f t="shared" si="2"/>
        <v>65.689502976190468</v>
      </c>
      <c r="L8" s="3">
        <f t="shared" si="0"/>
        <v>0.26439779054694945</v>
      </c>
    </row>
    <row r="9" spans="1:12" x14ac:dyDescent="0.25">
      <c r="A9" s="3" t="s">
        <v>6</v>
      </c>
      <c r="B9" s="3">
        <v>12304.15</v>
      </c>
      <c r="C9" s="3">
        <v>747.46283663722147</v>
      </c>
      <c r="D9" s="3">
        <v>0.89</v>
      </c>
      <c r="E9" s="3">
        <v>27.783393750194481</v>
      </c>
      <c r="F9" s="3">
        <v>12.20481619288257</v>
      </c>
      <c r="G9" s="3">
        <v>18054.120693926041</v>
      </c>
      <c r="H9" s="3">
        <v>2.0169367571428576</v>
      </c>
      <c r="I9" s="3">
        <f>G9/B9*1000/24</f>
        <v>61.138317471225974</v>
      </c>
      <c r="J9" s="3">
        <f t="shared" si="1"/>
        <v>0.4544350400756515</v>
      </c>
      <c r="K9" s="3">
        <f t="shared" si="2"/>
        <v>84.039031547619075</v>
      </c>
      <c r="L9" s="3">
        <f t="shared" si="0"/>
        <v>0.14522794906277506</v>
      </c>
    </row>
    <row r="10" spans="1:12" x14ac:dyDescent="0.25">
      <c r="A10" s="3" t="s">
        <v>7</v>
      </c>
      <c r="B10" s="3">
        <v>9848</v>
      </c>
      <c r="C10" s="3">
        <v>724.71613530652633</v>
      </c>
      <c r="D10" s="3">
        <v>0.56000000000000005</v>
      </c>
      <c r="E10" s="3">
        <v>32.793972028561029</v>
      </c>
      <c r="F10" s="3">
        <v>12.347757895785771</v>
      </c>
      <c r="G10" s="3">
        <v>20230.320772716212</v>
      </c>
      <c r="H10" s="3">
        <v>1.494602185714285</v>
      </c>
      <c r="I10" s="3">
        <f>G10/B10*1000/24</f>
        <v>85.594032513861578</v>
      </c>
      <c r="J10" s="3">
        <f t="shared" si="1"/>
        <v>0.38313385951585105</v>
      </c>
      <c r="K10" s="3">
        <f t="shared" si="2"/>
        <v>62.275091071428541</v>
      </c>
      <c r="L10" s="3">
        <f t="shared" si="0"/>
        <v>0.19827763690659381</v>
      </c>
    </row>
    <row r="11" spans="1:12" x14ac:dyDescent="0.25">
      <c r="A11" s="3" t="s">
        <v>8</v>
      </c>
      <c r="B11" s="3">
        <v>10025.700000000001</v>
      </c>
      <c r="C11" s="3">
        <v>696.78063881661762</v>
      </c>
      <c r="D11" s="3">
        <v>0.05</v>
      </c>
      <c r="E11" s="3">
        <v>30.429805783857031</v>
      </c>
      <c r="F11" s="3">
        <v>10.780485218103991</v>
      </c>
      <c r="G11" s="3">
        <v>13000.473010699452</v>
      </c>
      <c r="H11" s="3">
        <v>1.7447671214285718</v>
      </c>
      <c r="I11" s="3">
        <f>G11/B11*1000/24</f>
        <v>54.029781007392046</v>
      </c>
      <c r="J11" s="3">
        <f t="shared" si="1"/>
        <v>0.56320431466664278</v>
      </c>
      <c r="K11" s="3">
        <f t="shared" si="2"/>
        <v>72.698630059523822</v>
      </c>
      <c r="L11" s="3">
        <f t="shared" si="0"/>
        <v>0.14829007381950937</v>
      </c>
    </row>
    <row r="12" spans="1:12" x14ac:dyDescent="0.25">
      <c r="A12" s="3" t="s">
        <v>10</v>
      </c>
      <c r="B12" s="3">
        <v>13777.23</v>
      </c>
      <c r="C12" s="3">
        <v>635.19352139483692</v>
      </c>
      <c r="D12" s="3">
        <v>0.9</v>
      </c>
      <c r="E12" s="3">
        <v>21.105809927897951</v>
      </c>
      <c r="F12" s="3">
        <v>11.711233686171621</v>
      </c>
      <c r="G12" s="3">
        <v>24365.251537363194</v>
      </c>
      <c r="H12" s="3">
        <v>2.2447812428571421</v>
      </c>
      <c r="I12" s="3">
        <f>G12/B12*1000/24</f>
        <v>73.68816620298854</v>
      </c>
      <c r="J12" s="3">
        <f t="shared" si="1"/>
        <v>0.28642061562175192</v>
      </c>
      <c r="K12" s="3">
        <f t="shared" si="2"/>
        <v>93.532551785714247</v>
      </c>
      <c r="L12" s="3">
        <f t="shared" si="0"/>
        <v>0.12521024458952421</v>
      </c>
    </row>
    <row r="22" spans="5:5" ht="14.5" x14ac:dyDescent="0.3">
      <c r="E22" s="1"/>
    </row>
  </sheetData>
  <sortState xmlns:xlrd2="http://schemas.microsoft.com/office/spreadsheetml/2017/richdata2" ref="A2:F12">
    <sortCondition ref="A4:A12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钰丹 朱</cp:lastModifiedBy>
  <dcterms:created xsi:type="dcterms:W3CDTF">2026-08-26T08:22:16Z</dcterms:created>
  <dcterms:modified xsi:type="dcterms:W3CDTF">2026-09-03T14:11:22Z</dcterms:modified>
</cp:coreProperties>
</file>